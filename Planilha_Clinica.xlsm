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12.xml" ContentType="application/vnd.openxmlformats-officedocument.drawing+xml"/>
  <Override PartName="/xl/ctrlProps/ctrlProp12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_t\Desktop\Pastas\Coisas Aleatórias\"/>
    </mc:Choice>
  </mc:AlternateContent>
  <xr:revisionPtr revIDLastSave="0" documentId="13_ncr:1_{F692FD9A-1A26-4204-9F94-618C8FAC5C30}" xr6:coauthVersionLast="47" xr6:coauthVersionMax="47" xr10:uidLastSave="{00000000-0000-0000-0000-000000000000}"/>
  <bookViews>
    <workbookView xWindow="-120" yWindow="-120" windowWidth="20730" windowHeight="11040" firstSheet="1" activeTab="1" xr2:uid="{E4A86680-289C-4BE6-9FD7-F598B75564AF}"/>
  </bookViews>
  <sheets>
    <sheet name="Outros" sheetId="2" state="hidden" r:id="rId1"/>
    <sheet name="Report" sheetId="17" r:id="rId2"/>
    <sheet name="Janeiro" sheetId="15" r:id="rId3"/>
    <sheet name="Fevereiro" sheetId="16" r:id="rId4"/>
    <sheet name="Março" sheetId="4" r:id="rId5"/>
    <sheet name="Abril" sheetId="5" r:id="rId6"/>
    <sheet name="Maio" sheetId="6" r:id="rId7"/>
    <sheet name="Junho" sheetId="7" r:id="rId8"/>
    <sheet name="Julho" sheetId="8" r:id="rId9"/>
    <sheet name="Agosto" sheetId="9" r:id="rId10"/>
    <sheet name="Setembro" sheetId="10" r:id="rId11"/>
    <sheet name="Outubro" sheetId="11" r:id="rId12"/>
    <sheet name="Novembro" sheetId="12" r:id="rId13"/>
    <sheet name="Dezembro" sheetId="13" r:id="rId14"/>
  </sheets>
  <definedNames>
    <definedName name="_xlnm._FilterDatabase" localSheetId="5" hidden="1">Abril!$B$2:$E$2</definedName>
    <definedName name="_xlnm._FilterDatabase" localSheetId="9" hidden="1">Agosto!$B$2:$E$2</definedName>
    <definedName name="_xlnm._FilterDatabase" localSheetId="13" hidden="1">Dezembro!$B$2:$E$2</definedName>
    <definedName name="_xlnm._FilterDatabase" localSheetId="3" hidden="1">Fevereiro!$B$2:$E$2</definedName>
    <definedName name="_xlnm._FilterDatabase" localSheetId="2" hidden="1">Janeiro!$B$2:$E$2</definedName>
    <definedName name="_xlnm._FilterDatabase" localSheetId="8" hidden="1">Julho!$B$2:$E$2</definedName>
    <definedName name="_xlnm._FilterDatabase" localSheetId="7" hidden="1">Junho!$B$2:$E$2</definedName>
    <definedName name="_xlnm._FilterDatabase" localSheetId="6" hidden="1">Maio!$B$2:$E$2</definedName>
    <definedName name="_xlnm._FilterDatabase" localSheetId="4" hidden="1">Março!$B$2:$E$2</definedName>
    <definedName name="_xlnm._FilterDatabase" localSheetId="12" hidden="1">Novembro!$B$2:$E$2</definedName>
    <definedName name="_xlnm._FilterDatabase" localSheetId="11" hidden="1">Outubro!$B$2:$E$2</definedName>
    <definedName name="_xlnm._FilterDatabase" localSheetId="10" hidden="1">Setembro!$B$2:$E$2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13" l="1"/>
  <c r="M1" i="12"/>
  <c r="M1" i="11"/>
  <c r="M1" i="10"/>
  <c r="M1" i="8"/>
  <c r="M1" i="6"/>
  <c r="M1" i="5"/>
  <c r="M1" i="16"/>
  <c r="M1" i="15"/>
  <c r="E1" i="17"/>
  <c r="J251" i="16"/>
  <c r="E251" i="16"/>
  <c r="J1" i="16"/>
  <c r="E1" i="16"/>
  <c r="J251" i="15"/>
  <c r="E251" i="15"/>
  <c r="J1" i="15"/>
  <c r="E1" i="15"/>
  <c r="J251" i="13"/>
  <c r="E251" i="13"/>
  <c r="J1" i="13"/>
  <c r="E1" i="13"/>
  <c r="J251" i="12"/>
  <c r="E251" i="12"/>
  <c r="J1" i="12"/>
  <c r="E1" i="12"/>
  <c r="J251" i="11"/>
  <c r="E251" i="11"/>
  <c r="J1" i="11"/>
  <c r="E1" i="11"/>
  <c r="J251" i="10"/>
  <c r="E251" i="10"/>
  <c r="J1" i="10"/>
  <c r="E1" i="10"/>
  <c r="J251" i="9"/>
  <c r="E251" i="9"/>
  <c r="J1" i="9"/>
  <c r="E1" i="9"/>
  <c r="J251" i="8"/>
  <c r="E251" i="8"/>
  <c r="J1" i="8"/>
  <c r="E1" i="8"/>
  <c r="J251" i="7"/>
  <c r="E251" i="7"/>
  <c r="J1" i="7"/>
  <c r="E1" i="7"/>
  <c r="M1" i="7" s="1"/>
  <c r="J251" i="6"/>
  <c r="E251" i="6"/>
  <c r="J1" i="6"/>
  <c r="E1" i="6"/>
  <c r="J251" i="5"/>
  <c r="E251" i="5"/>
  <c r="J1" i="5"/>
  <c r="E1" i="5"/>
  <c r="J1" i="4"/>
  <c r="E1" i="4"/>
  <c r="M1" i="4" s="1"/>
  <c r="E251" i="4"/>
  <c r="J251" i="4"/>
  <c r="M1" i="9" l="1"/>
</calcChain>
</file>

<file path=xl/sharedStrings.xml><?xml version="1.0" encoding="utf-8"?>
<sst xmlns="http://schemas.openxmlformats.org/spreadsheetml/2006/main" count="241" uniqueCount="33">
  <si>
    <t>Tipo</t>
  </si>
  <si>
    <t>Valor</t>
  </si>
  <si>
    <t>Data</t>
  </si>
  <si>
    <t>Particular com Reembolso</t>
  </si>
  <si>
    <t>Convênio</t>
  </si>
  <si>
    <t>Total de receitas</t>
  </si>
  <si>
    <t>Atendimento Particular</t>
  </si>
  <si>
    <t>Nº</t>
  </si>
  <si>
    <t>RECEITAS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</si>
  <si>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</si>
  <si>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</si>
  <si>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</si>
  <si>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</si>
  <si>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</si>
  <si>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</si>
  <si>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</si>
  <si>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</si>
  <si>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</si>
  <si>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</si>
  <si>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</si>
  <si>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</si>
  <si>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DESPESAS</t>
  </si>
  <si>
    <t>Total de despesas</t>
  </si>
  <si>
    <t>Custo</t>
  </si>
  <si>
    <t>Total</t>
  </si>
  <si>
    <t>14/Março/2024</t>
  </si>
  <si>
    <t>25/Março/2024</t>
  </si>
  <si>
    <t>Lucro Líquido</t>
  </si>
  <si>
    <t>aluguel</t>
  </si>
  <si>
    <t>14/Agosto/2024</t>
  </si>
  <si>
    <t>guhj</t>
  </si>
  <si>
    <t>14/Junho/2024</t>
  </si>
  <si>
    <t>sahbdiuas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</si>
</sst>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2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2" borderId="1" applyNumberFormat="0" applyAlignment="0" applyProtection="0"/>
  </cellStyleXfs>
  <cellXfs count="16">
    <xf numFmtId="0" fontId="0" fillId="0" borderId="0" xfId="0"/>
    <xf numFmtId="44" fontId="0" fillId="0" borderId="0" xfId="1" applyFont="1"/>
    <xf numFmtId="7" fontId="0" fillId="0" borderId="0" xfId="1" applyNumberFormat="1" applyFont="1"/>
    <xf numFmtId="14" fontId="0" fillId="0" borderId="0" xfId="0" applyNumberFormat="1"/>
    <xf numFmtId="7" fontId="0" fillId="0" borderId="0" xfId="0" applyNumberFormat="1"/>
    <xf numFmtId="0" fontId="4" fillId="0" borderId="0" xfId="0" applyFont="1"/>
    <xf numFmtId="0" fontId="6" fillId="3" borderId="0" xfId="0" applyFont="1" applyFill="1"/>
    <xf numFmtId="0" fontId="6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0" fillId="3" borderId="0" xfId="0" applyFill="1"/>
    <xf numFmtId="0" fontId="0" fillId="4" borderId="0" xfId="0" applyFill="1"/>
    <xf numFmtId="0" fontId="1" fillId="0" borderId="0" xfId="0" applyFont="1"/>
    <xf numFmtId="7" fontId="3" fillId="2" borderId="1" xfId="2" applyNumberFormat="1"/>
    <xf numFmtId="0" fontId="4" fillId="7" borderId="2" xfId="0" applyFont="1" applyFill="1" applyBorder="1"/>
    <xf numFmtId="7" fontId="0" fillId="8" borderId="3" xfId="0" applyNumberFormat="1" applyFill="1" applyBorder="1"/>
  </cellXfs>
  <cellStyles count="3">
    <cellStyle name="Check Cell" xfId="2" builtinId="23"/>
    <cellStyle name="Currency" xfId="1" builtinId="4"/>
    <cellStyle name="Normal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47625</xdr:rowOff>
        </xdr:from>
        <xdr:to>
          <xdr:col>0</xdr:col>
          <xdr:colOff>1228725</xdr:colOff>
          <xdr:row>4</xdr:row>
          <xdr:rowOff>85725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0287490-72FC-49DC-9E31-EB785949552A}" name="Table26" displayName="Table26" ref="B2:E376" totalsRowShown="0" headerRowDxfId="1" headerRowBorderDxfId="61" tableBorderDxfId="60">
  <autoFilter ref="B2:E376" xr:uid="{E0287490-72FC-49DC-9E31-EB785949552A}"/>
  <tableColumns count="4">
    <tableColumn id="1" xr3:uid="{9F60D98A-B9AD-417D-8986-E07E5991DA35}" name="Nº"/>
    <tableColumn id="2" xr3:uid="{B7FBE0C1-3C2A-468A-9447-DD522999E177}" name="Tipo"/>
    <tableColumn id="3" xr3:uid="{D1D02D06-FF7D-42B9-8106-4FA137398F02}" name="Valor"/>
    <tableColumn id="4" xr3:uid="{B1FC217D-256D-456A-9ED4-B0EDD44BAB09}" name="Data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1CFC9E6-4252-49C1-93EB-7ACF3BFFA405}" name="Table146822" displayName="Table146822" ref="B2:E251" totalsRowCount="1" headerRowDxfId="59">
  <tableColumns count="4">
    <tableColumn id="1" xr3:uid="{D6E13318-AD56-4551-804A-FFF2BE7A6A4C}" name="Nº" totalsRowLabel="Total"/>
    <tableColumn id="2" xr3:uid="{A3FBA013-7188-460A-BF93-0C8C167F04E9}" name="Tipo"/>
    <tableColumn id="3" xr3:uid="{14F953C3-AFCF-4569-8943-1B480BD9DAE7}" name="Valor" dataDxfId="58" dataCellStyle="Currency"/>
    <tableColumn id="4" xr3:uid="{23CE28FB-2DFE-4215-B4C1-46A5AEEA84C4}" name="Data" totalsRowFunction="count" dataDxfId="57"/>
  </tableColumns>
  <tableStyleInfo name="TableStyleMedium2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AFA888F-95EF-4B42-A717-BBBCD891FADC}" name="Table257923" displayName="Table257923" ref="G2:J251" totalsRowCount="1" headerRowDxfId="56">
  <autoFilter ref="G2:J250" xr:uid="{5E1EF98D-6380-404F-807F-91CCAD0A3F12}"/>
  <tableColumns count="4">
    <tableColumn id="1" xr3:uid="{17E3A14C-C70D-4E94-8C05-7012BDBB73BA}" name="Nº" totalsRowLabel="Total"/>
    <tableColumn id="2" xr3:uid="{C876ED53-AF69-4335-9157-5D53A3723CC5}" name="Tipo"/>
    <tableColumn id="3" xr3:uid="{64AA2A41-01C1-42BB-8116-D80167067D47}" name="Custo"/>
    <tableColumn id="4" xr3:uid="{7149AC50-8911-4697-97BB-7CF16635BCA1}" name="Data" totalsRowFunction="count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2B618CB-413E-434E-85C4-354CD8058C85}" name="Table124" displayName="Table124" ref="B2:E251" totalsRowCount="1" headerRowDxfId="55">
  <autoFilter ref="B2:E250" xr:uid="{A1B39F45-995E-4E22-B359-6453BE14EADE}"/>
  <tableColumns count="4">
    <tableColumn id="1" xr3:uid="{D60F2DC6-C25E-4C99-8C5F-D4F7A5240BC7}" name="Nº" totalsRowLabel="Total"/>
    <tableColumn id="2" xr3:uid="{DD6EE636-5B81-4A45-95A7-605CDE847298}" name="Tipo"/>
    <tableColumn id="3" xr3:uid="{CBF02E28-D68F-45D6-8302-080713CC730C}" name="Valor" dataDxfId="54" totalsRowDxfId="53" dataCellStyle="Currency"/>
    <tableColumn id="4" xr3:uid="{482F1E42-8FDD-438B-A7FA-D64DFABF6C9E}" name="Data" totalsRowFunction="count" dataDxfId="52"/>
  </tableColumns>
  <tableStyleInfo name="TableStyleMedium2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DEC710-CC15-4423-902B-50FD2B64D08F}" name="Table225" displayName="Table225" ref="G2:J251" totalsRowCount="1" headerRowDxfId="51">
  <autoFilter ref="G2:J250" xr:uid="{5E1EF98D-6380-404F-807F-91CCAD0A3F12}"/>
  <tableColumns count="4">
    <tableColumn id="1" xr3:uid="{3256A9C4-51FC-47D9-9748-FEEF480E67D7}" name="Nº" totalsRowLabel="Total"/>
    <tableColumn id="2" xr3:uid="{3C0F9F1D-8AD9-43C5-991E-3CA95004CD2C}" name="Tipo"/>
    <tableColumn id="3" xr3:uid="{3A881D8D-57AB-41D1-800B-6E8694DAD610}" name="Custo"/>
    <tableColumn id="4" xr3:uid="{6F0BF9BF-5A25-412B-B80E-1B4EAA88E839}" name="Data" totalsRowFunction="count"/>
  </tableColumns>
  <tableStyleInfo name="TableStyleMedium2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B39F45-995E-4E22-B359-6453BE14EADE}" name="Table1" displayName="Table1" ref="B2:E251" totalsRowCount="1" headerRowDxfId="50">
  <autoFilter ref="B2:E250" xr:uid="{A1B39F45-995E-4E22-B359-6453BE14EADE}"/>
  <tableColumns count="4">
    <tableColumn id="1" xr3:uid="{B192CCC9-E0A0-4D02-A12E-8CA9E6E762B2}" name="Nº" totalsRowLabel="Total"/>
    <tableColumn id="2" xr3:uid="{EA744D3C-0235-4A2A-B027-57122005116D}" name="Tipo"/>
    <tableColumn id="3" xr3:uid="{6590C621-5A4D-43AA-BDED-AA5939B2761A}" name="Valor" dataDxfId="49" totalsRowDxfId="48" dataCellStyle="Currency"/>
    <tableColumn id="4" xr3:uid="{0B6E3002-04DB-48CF-83E1-5707B15329FB}" name="Data" totalsRowFunction="count" dataDxfId="47"/>
  </tableColumns>
  <tableStyleInfo name="TableStyleMedium2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1EF98D-6380-404F-807F-91CCAD0A3F12}" name="Table2" displayName="Table2" ref="G2:J251" totalsRowCount="1" headerRowDxfId="46">
  <autoFilter ref="G2:J250" xr:uid="{5E1EF98D-6380-404F-807F-91CCAD0A3F12}"/>
  <tableColumns count="4">
    <tableColumn id="1" xr3:uid="{5043CF4C-C03B-48E4-BD63-865B6F359A63}" name="Nº" totalsRowLabel="Total"/>
    <tableColumn id="2" xr3:uid="{6D5E1C92-35A1-4976-9705-EA62D5F98ED9}" name="Tipo"/>
    <tableColumn id="3" xr3:uid="{484D0210-B20C-45F2-8C5C-EB41CDA14CB1}" name="Custo"/>
    <tableColumn id="4" xr3:uid="{6EF374CD-9218-4638-BD53-53368D4AF38E}" name="Data" totalsRowFunction="count"/>
  </tableColumns>
  <tableStyleInfo name="TableStyleMedium2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CD768-B8CB-4640-96EC-9B8DBA9ADC91}" name="Table14" displayName="Table14" ref="B2:E251" totalsRowCount="1" headerRowDxfId="45">
  <autoFilter ref="B2:E250" xr:uid="{A1B39F45-995E-4E22-B359-6453BE14EADE}"/>
  <tableColumns count="4">
    <tableColumn id="1" xr3:uid="{80DDAFF1-3825-43A9-9646-3C7DDCAA2C89}" name="Nº" totalsRowLabel="Total"/>
    <tableColumn id="2" xr3:uid="{B358F1AB-30D2-4ABA-9C59-0404D4ED6860}" name="Tipo"/>
    <tableColumn id="3" xr3:uid="{9D08AA79-9E68-4289-BEFB-D099A623CD48}" name="Valor" dataDxfId="44" totalsRowDxfId="43" dataCellStyle="Currency"/>
    <tableColumn id="4" xr3:uid="{D4C9EEB9-B6A4-442D-AF78-8B9F797D8768}" name="Data" totalsRowFunction="count" dataDxfId="42"/>
  </tableColumns>
  <tableStyleInfo name="TableStyleMedium2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4A754B-01E5-4C4B-8A6C-15417F810CC8}" name="Table25" displayName="Table25" ref="G2:J251" totalsRowCount="1" headerRowDxfId="41">
  <autoFilter ref="G2:J250" xr:uid="{5E1EF98D-6380-404F-807F-91CCAD0A3F12}"/>
  <tableColumns count="4">
    <tableColumn id="1" xr3:uid="{0F040856-0B19-479A-978A-E8CF203E7B6D}" name="Nº" totalsRowLabel="Total"/>
    <tableColumn id="2" xr3:uid="{3366528F-A287-467C-8B77-3602B2B9BF32}" name="Tipo"/>
    <tableColumn id="3" xr3:uid="{B89A489D-DFB8-4279-8DD7-7CF8D0D4DC76}" name="Custo"/>
    <tableColumn id="4" xr3:uid="{6ABC8536-AFB3-4C84-A367-B51C0B87F572}" name="Data" totalsRowFunction="count"/>
  </tableColumns>
  <tableStyleInfo name="TableStyleMedium2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F926C8-F4A2-412B-8AF0-CAFF38B6F009}" name="Table146" displayName="Table146" ref="B2:E251" totalsRowCount="1" headerRowDxfId="40">
  <autoFilter ref="B2:E250" xr:uid="{A1B39F45-995E-4E22-B359-6453BE14EADE}"/>
  <tableColumns count="4">
    <tableColumn id="1" xr3:uid="{750A9CDF-895A-448F-924F-0D2FACF6D6AB}" name="Nº" totalsRowLabel="Total"/>
    <tableColumn id="2" xr3:uid="{CDBFCFF0-64D1-40A8-9BF7-183C7DF5B150}" name="Tipo"/>
    <tableColumn id="3" xr3:uid="{B17821FA-EBEB-42F6-A465-75D3291B5BC4}" name="Valor" dataDxfId="39" totalsRowDxfId="38" dataCellStyle="Currency"/>
    <tableColumn id="4" xr3:uid="{F2D86EC2-8046-42C4-847E-10C99F3EE91C}" name="Data" totalsRowFunction="count" dataDxfId="37"/>
  </tableColumns>
  <tableStyleInfo name="TableStyleMedium2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C6A54B-CC89-4BDC-960B-C19E45DE78B8}" name="Table257" displayName="Table257" ref="G2:J251" totalsRowCount="1" headerRowDxfId="36">
  <autoFilter ref="G2:J250" xr:uid="{5E1EF98D-6380-404F-807F-91CCAD0A3F12}"/>
  <tableColumns count="4">
    <tableColumn id="1" xr3:uid="{27493E16-894F-43D4-9AB5-096F83FF7E7C}" name="Nº" totalsRowLabel="Total"/>
    <tableColumn id="2" xr3:uid="{AA88E6BC-706E-4EA1-858F-49DFB694C51C}" name="Tipo"/>
    <tableColumn id="3" xr3:uid="{476C052A-B6BC-487A-9BD1-3901C9790F2D}" name="Custo"/>
    <tableColumn id="4" xr3:uid="{782D1A1D-0D33-4B58-A971-F3D4FF907F06}" name="Data" totalsRowFunction="count"/>
  </tableColumns>
  <tableStyleInfo name="TableStyleMedium2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F92DD84-165C-41AB-A128-365336509B67}" name="Table1468" displayName="Table1468" ref="B2:E251" totalsRowCount="1" headerRowDxfId="35">
  <tableColumns count="4">
    <tableColumn id="1" xr3:uid="{98B0A71A-2705-4C4B-896E-9702575D3DE6}" name="Nº" totalsRowLabel="Total"/>
    <tableColumn id="2" xr3:uid="{85019687-7867-4B96-A9BE-1A92E297E924}" name="Tipo"/>
    <tableColumn id="3" xr3:uid="{2EDF03BF-1A23-4108-80FB-B17CB43A4AA0}" name="Valor" dataDxfId="34" totalsRowDxfId="0" dataCellStyle="Currency"/>
    <tableColumn id="4" xr3:uid="{862742A5-74B4-481F-B818-0F3E391C2985}" name="Data" totalsRowFunction="count" dataDxfId="33"/>
  </tableColumns>
  <tableStyleInfo name="TableStyleMedium2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E09A93-50B9-4901-9CF2-2214D9F0F376}" name="Table2579" displayName="Table2579" ref="G2:J251" totalsRowCount="1" headerRowDxfId="32">
  <autoFilter ref="G2:J250" xr:uid="{5E1EF98D-6380-404F-807F-91CCAD0A3F12}"/>
  <tableColumns count="4">
    <tableColumn id="1" xr3:uid="{53D7AB5F-6F30-4C1E-8E57-4129E38A25E7}" name="Nº" totalsRowLabel="Total"/>
    <tableColumn id="2" xr3:uid="{54AD1DF7-6AAF-48C4-9AC4-E3F1C5B98408}" name="Tipo"/>
    <tableColumn id="3" xr3:uid="{91F88AD7-87FF-41AA-97BB-803D4D85082E}" name="Custo"/>
    <tableColumn id="4" xr3:uid="{D40E1428-501E-4244-A43E-41311EBE333A}" name="Data" totalsRowFunction="count"/>
  </tableColumns>
  <tableStyleInfo name="TableStyleMedium2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4F35B1-80DF-4BB0-9968-BF80DB0DA569}" name="Table146810" displayName="Table146810" ref="B2:E251" totalsRowCount="1" headerRowDxfId="31">
  <autoFilter ref="B2:E250" xr:uid="{A1B39F45-995E-4E22-B359-6453BE14EADE}"/>
  <tableColumns count="4">
    <tableColumn id="1" xr3:uid="{56511D8B-3020-4F7E-8619-B42DACF44278}" name="Nº" totalsRowLabel="Total"/>
    <tableColumn id="2" xr3:uid="{0A49E424-D094-48C6-8201-95D1AFAB0469}" name="Tipo"/>
    <tableColumn id="3" xr3:uid="{BB5B33D3-2977-4605-AA52-0373F15E827E}" name="Valor" dataDxfId="30" totalsRowDxfId="29" dataCellStyle="Currency"/>
    <tableColumn id="4" xr3:uid="{9163E550-12B8-4038-B6E4-766A6A57FC3F}" name="Data" totalsRowFunction="count" dataDxfId="28"/>
  </tableColumns>
  <tableStyleInfo name="TableStyleMedium2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706A06-5F49-432B-A86F-E3C7532FC14E}" name="Table257911" displayName="Table257911" ref="G2:J251" totalsRowCount="1" headerRowDxfId="27">
  <autoFilter ref="G2:J250" xr:uid="{5E1EF98D-6380-404F-807F-91CCAD0A3F12}"/>
  <tableColumns count="4">
    <tableColumn id="1" xr3:uid="{F5FAF9C9-9674-4457-82C5-FE1B9EF453C6}" name="Nº" totalsRowLabel="Total"/>
    <tableColumn id="2" xr3:uid="{65DBD7F5-7D1A-4E94-A321-EF652ED6E424}" name="Tipo"/>
    <tableColumn id="3" xr3:uid="{1918F58C-04BC-419C-99EF-041C5D817EB9}" name="Custo"/>
    <tableColumn id="4" xr3:uid="{3A65EB6A-788E-44E4-936A-302268FB9B47}" name="Data" totalsRowFunction="count"/>
  </tableColumns>
  <tableStyleInfo name="TableStyleMedium2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F6DBF2-3BF9-446E-8F86-C6B2E5714C2E}" name="Table14681012" displayName="Table14681012" ref="B2:E251" totalsRowCount="1" headerRowDxfId="26">
  <tableColumns count="4">
    <tableColumn id="1" xr3:uid="{439B09FF-2C8A-41E2-B63C-BDB5089D680C}" name="Nº" totalsRowLabel="Total"/>
    <tableColumn id="2" xr3:uid="{19EA11A4-FCD9-49C6-AAD2-9396EDA6880E}" name="Tipo"/>
    <tableColumn id="3" xr3:uid="{4CF6541D-1A1A-48A9-A9C9-9B5CDF31FC01}" name="Valor" dataDxfId="25" totalsRowDxfId="2" dataCellStyle="Currency"/>
    <tableColumn id="4" xr3:uid="{E7602EE1-BCFB-4A47-BFD9-18A8B7AF0A5A}" name="Data" totalsRowFunction="count" dataDxfId="24"/>
  </tableColumns>
  <tableStyleInfo name="TableStyleMedium2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B52CAC9-6C94-4799-871B-D62D0A57C937}" name="Table25791113" displayName="Table25791113" ref="G2:J251" totalsRowCount="1" headerRowDxfId="23">
  <autoFilter ref="G2:J250" xr:uid="{5E1EF98D-6380-404F-807F-91CCAD0A3F12}"/>
  <tableColumns count="4">
    <tableColumn id="1" xr3:uid="{D86BE836-D4A6-4722-86A0-27667175C5CE}" name="Nº" totalsRowLabel="Total"/>
    <tableColumn id="2" xr3:uid="{4898CC56-83F3-4778-9970-76C967FA842F}" name="Tipo"/>
    <tableColumn id="3" xr3:uid="{7490F46E-CBDD-4718-9274-6957DDD71A75}" name="Custo"/>
    <tableColumn id="4" xr3:uid="{A2854682-6B39-4A0D-B1B1-7633FAD68EC6}" name="Data" totalsRowFunction="count"/>
  </tableColumns>
  <tableStyleInfo name="TableStyleMedium2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3D955F4-7330-4397-B988-2961F5A6932F}" name="Table1468101214" displayName="Table1468101214" ref="B2:E251" totalsRowCount="1" headerRowDxfId="22">
  <autoFilter ref="B2:E250" xr:uid="{A1B39F45-995E-4E22-B359-6453BE14EADE}"/>
  <tableColumns count="4">
    <tableColumn id="1" xr3:uid="{6308EA5B-B305-4690-940A-5E823E617B44}" name="Nº" totalsRowLabel="Total"/>
    <tableColumn id="2" xr3:uid="{86F59C56-2263-4090-A4E6-92C0FABD42F6}" name="Tipo"/>
    <tableColumn id="3" xr3:uid="{00E00589-7DBC-4B55-81F9-225ACC051F22}" name="Valor" dataDxfId="21" totalsRowDxfId="20" dataCellStyle="Currency"/>
    <tableColumn id="4" xr3:uid="{B4DECBC6-2CBB-4EEF-BDF1-7BD3990EA5A3}" name="Data" totalsRowFunction="count" dataDxfId="19"/>
  </tableColumns>
  <tableStyleInfo name="TableStyleMedium2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68DF422-DD56-49CC-9E0D-55477EF99824}" name="Table2579111315" displayName="Table2579111315" ref="G2:J251" totalsRowCount="1" headerRowDxfId="18">
  <autoFilter ref="G2:J250" xr:uid="{5E1EF98D-6380-404F-807F-91CCAD0A3F12}"/>
  <tableColumns count="4">
    <tableColumn id="1" xr3:uid="{D25D7466-B7C3-445A-BBCF-E0A3DF69EAB2}" name="Nº" totalsRowLabel="Total"/>
    <tableColumn id="2" xr3:uid="{5A4B8A11-6E7A-4F80-B2E9-B1D8C35F29B0}" name="Tipo"/>
    <tableColumn id="3" xr3:uid="{DA043ED1-244F-4C66-A99F-E3B0E86B6646}" name="Custo"/>
    <tableColumn id="4" xr3:uid="{186B36CA-66AC-459B-B2B4-E0AC3AD16BAC}" name="Data" totalsRowFunction="count"/>
  </tableColumns>
  <tableStyleInfo name="TableStyleMedium2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AA4A779-9A4B-4DDF-959E-018625879738}" name="Table146810121416" displayName="Table146810121416" ref="B2:E251" totalsRowCount="1" headerRowDxfId="17">
  <autoFilter ref="B2:E250" xr:uid="{A1B39F45-995E-4E22-B359-6453BE14EADE}"/>
  <tableColumns count="4">
    <tableColumn id="1" xr3:uid="{15042ECD-7643-48FF-975B-589A78B58B63}" name="Nº" totalsRowLabel="Total"/>
    <tableColumn id="2" xr3:uid="{0E11A2FE-80E5-4C89-902C-155DAC7689F5}" name="Tipo"/>
    <tableColumn id="3" xr3:uid="{58AE81E0-1F70-4492-94D4-1BF37CB64076}" name="Valor" dataDxfId="16" totalsRowDxfId="15" dataCellStyle="Currency"/>
    <tableColumn id="4" xr3:uid="{9C4D0F29-6908-403D-AA16-3DEF89538A4C}" name="Data" totalsRowFunction="count" dataDxfId="14"/>
  </tableColumns>
  <tableStyleInfo name="TableStyleMedium2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A91A121-626D-49C5-995D-F4CC2905CE19}" name="Table257911131517" displayName="Table257911131517" ref="G2:J251" totalsRowCount="1" headerRowDxfId="13">
  <autoFilter ref="G2:J250" xr:uid="{5E1EF98D-6380-404F-807F-91CCAD0A3F12}"/>
  <tableColumns count="4">
    <tableColumn id="1" xr3:uid="{B9B3904B-9C11-4492-8C36-D08BA4B629EF}" name="Nº" totalsRowLabel="Total"/>
    <tableColumn id="2" xr3:uid="{AD4ACF66-B0F8-4B62-BD4E-45C0CCF663D9}" name="Tipo"/>
    <tableColumn id="3" xr3:uid="{CB2DED50-BEAD-46C6-84CF-CE02D1C057DD}" name="Custo"/>
    <tableColumn id="4" xr3:uid="{C264251C-E637-4BD7-AEA9-1ED51A20210F}" name="Data" totalsRowFunction="count"/>
  </tableColumns>
  <tableStyleInfo name="TableStyleMedium2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D84A31-5C9A-40C6-A63B-7C4D4098B2C8}" name="Table14681012141618" displayName="Table14681012141618" ref="B2:E251" totalsRowCount="1" headerRowDxfId="12">
  <autoFilter ref="B2:E250" xr:uid="{A1B39F45-995E-4E22-B359-6453BE14EADE}"/>
  <tableColumns count="4">
    <tableColumn id="1" xr3:uid="{9421B8CF-E46B-4EC0-AB1D-8DACD4C410F7}" name="Nº" totalsRowLabel="Total"/>
    <tableColumn id="2" xr3:uid="{BBA6E9F9-1CE7-4113-AE48-A4727CF277D2}" name="Tipo"/>
    <tableColumn id="3" xr3:uid="{CEA62224-8081-4553-B09D-C83CCCA310CC}" name="Valor" dataDxfId="11" totalsRowDxfId="10" dataCellStyle="Currency"/>
    <tableColumn id="4" xr3:uid="{2F31BDF2-8650-49E2-BD6F-7C8060A85F45}" name="Data" totalsRowFunction="count" dataDxfId="9"/>
  </tableColumns>
  <tableStyleInfo name="TableStyleMedium2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45928F7-6A12-46AE-AA5C-E451840FB580}" name="Table25791113151719" displayName="Table25791113151719" ref="G2:J251" totalsRowCount="1" headerRowDxfId="8">
  <autoFilter ref="G2:J250" xr:uid="{5E1EF98D-6380-404F-807F-91CCAD0A3F12}"/>
  <tableColumns count="4">
    <tableColumn id="1" xr3:uid="{E1D3D080-F23F-4165-9F33-652CE5CCB582}" name="Nº" totalsRowLabel="Total"/>
    <tableColumn id="2" xr3:uid="{E7BBE51A-633F-4979-974C-2234C4C98611}" name="Tipo"/>
    <tableColumn id="3" xr3:uid="{57791052-DB3A-40DF-A7D2-4B178263FB76}" name="Custo"/>
    <tableColumn id="4" xr3:uid="{E750F142-E926-4E99-B305-C44C6C93279C}" name="Data" totalsRowFunction="count"/>
  </tableColumns>
  <tableStyleInfo name="TableStyleMedium2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1AA923-BEE0-4B78-9205-6BAF516178B5}" name="Table1468101214161820" displayName="Table1468101214161820" ref="B2:E251" totalsRowCount="1" headerRowDxfId="7">
  <autoFilter ref="B2:E250" xr:uid="{A1B39F45-995E-4E22-B359-6453BE14EADE}"/>
  <tableColumns count="4">
    <tableColumn id="1" xr3:uid="{A4432D3A-ACE9-4C7C-AD99-8DD0BBC4961A}" name="Nº" totalsRowLabel="Total"/>
    <tableColumn id="2" xr3:uid="{FFA9C108-4050-4C87-BF25-51CDFAB7B4D0}" name="Tipo"/>
    <tableColumn id="3" xr3:uid="{2BDE961C-1989-474C-90B0-DFFA7CB88D48}" name="Valor" dataDxfId="6" totalsRowDxfId="5" dataCellStyle="Currency"/>
    <tableColumn id="4" xr3:uid="{B263F682-C455-4D7F-8C3A-8982EBC05D92}" name="Data" totalsRowFunction="count" dataDxfId="4"/>
  </tableColumns>
  <tableStyleInfo name="TableStyleMedium2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A7DA20D-5187-40AF-BAE8-7E6DEE569F10}" name="Table2579111315171921" displayName="Table2579111315171921" ref="G2:J251" totalsRowCount="1" headerRowDxfId="3">
  <autoFilter ref="G2:J250" xr:uid="{5E1EF98D-6380-404F-807F-91CCAD0A3F12}"/>
  <tableColumns count="4">
    <tableColumn id="1" xr3:uid="{F4408636-7D67-4D93-AE0A-8AE0D2A8108C}" name="Nº" totalsRowLabel="Total"/>
    <tableColumn id="2" xr3:uid="{3A621D9C-207C-4FD9-9EDF-F4CD8B6FA134}" name="Tipo"/>
    <tableColumn id="3" xr3:uid="{ADE7071C-D8A0-4804-B60E-04F229C347EA}" name="Custo"/>
    <tableColumn id="4" xr3:uid="{FB6C4A67-925A-4C2D-A855-2CE226941BB5}" name="Data" totalsRowFunction="count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2859-A236-46DA-B20B-7FFFB8ECF4A4}">
  <sheetPr codeName="Sheet2"/>
  <dimension ref="A1:C12"/>
  <sheetViews>
    <sheetView workbookViewId="0">
      <selection activeCell="C18" sqref="C18"/>
    </sheetView>
  </sheetViews>
  <sheetFormatPr defaultRowHeight="15" x14ac:dyDescent="0.25"/>
  <cols>
    <col min="1" max="2" width="24.7109375" bestFit="1" customWidth="1"/>
  </cols>
  <sheetData>
    <row r="1" spans="1:3" x14ac:dyDescent="0.25">
      <c r="A1" t="s">
        <v>6</v>
      </c>
      <c r="B1" t="s">
        <v>9</v>
      </c>
      <c r="C1">
        <v>1</v>
      </c>
    </row>
    <row r="2" spans="1:3" x14ac:dyDescent="0.25">
      <c r="A2" t="s">
        <v>3</v>
      </c>
      <c r="B2" t="s">
        <v>10</v>
      </c>
      <c r="C2">
        <v>2</v>
      </c>
    </row>
    <row r="3" spans="1:3" x14ac:dyDescent="0.25">
      <c r="A3" t="s">
        <v>4</v>
      </c>
      <c r="B3" t="s">
        <v>11</v>
      </c>
      <c r="C3">
        <v>3</v>
      </c>
    </row>
    <row r="4" spans="1:3" x14ac:dyDescent="0.25">
      <c r="B4" t="s">
        <v>12</v>
      </c>
      <c r="C4">
        <v>4</v>
      </c>
    </row>
    <row r="5" spans="1:3" x14ac:dyDescent="0.25">
      <c r="B5" t="s">
        <v>13</v>
      </c>
      <c r="C5">
        <v>5</v>
      </c>
    </row>
    <row r="6" spans="1:3" x14ac:dyDescent="0.25">
      <c r="B6" t="s">
        <v>14</v>
      </c>
      <c r="C6">
        <v>6</v>
      </c>
    </row>
    <row r="7" spans="1:3" x14ac:dyDescent="0.25">
      <c r="B7" t="s">
        <v>15</v>
      </c>
      <c r="C7">
        <v>7</v>
      </c>
    </row>
    <row r="8" spans="1:3" x14ac:dyDescent="0.25">
      <c r="B8" t="s">
        <v>16</v>
      </c>
      <c r="C8">
        <v>8</v>
      </c>
    </row>
    <row r="9" spans="1:3" x14ac:dyDescent="0.25">
      <c r="B9" t="s">
        <v>17</v>
      </c>
      <c r="C9">
        <v>9</v>
      </c>
    </row>
    <row r="10" spans="1:3" x14ac:dyDescent="0.25">
      <c r="B10" t="s">
        <v>18</v>
      </c>
      <c r="C10">
        <v>10</v>
      </c>
    </row>
    <row r="11" spans="1:3" x14ac:dyDescent="0.25">
      <c r="B11" t="s">
        <v>19</v>
      </c>
      <c r="C11">
        <v>11</v>
      </c>
    </row>
    <row r="12" spans="1:3" x14ac:dyDescent="0.25">
      <c r="B12" t="s">
        <v>20</v>
      </c>
      <c r="C12">
        <v>12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F9AA1-EB00-495B-A280-3F5E22E1CFBF}">
  <sheetPr codeName="Sheet15"/>
  <dimension ref="B1:E236"/>
  <sheetViews>
    <sheetView tabSelected="1" workbookViewId="0">
      <selection activeCell="G7" sqref="G7"/>
    </sheetView>
  </sheetViews>
  <sheetFormatPr defaultColWidth="24.42578125" defaultRowHeight="15" x14ac:dyDescent="0.25"/>
  <sheetData>
    <row r="1" spans="2:5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15</v>
      </c>
    </row>
    <row r="2" spans="2:5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</row>
    <row r="3" spans="2:5" x14ac:dyDescent="0.25">
      <c r="B3">
        <v>1</v>
      </c>
      <c r="C3" t="s">
        <v>3</v>
      </c>
      <c r="D3" s="2">
        <v>15</v>
      </c>
      <c r="E3" s="3" t="s">
        <v>31</v>
      </c>
    </row>
    <row r="4" spans="2:5" x14ac:dyDescent="0.25">
      <c r="D4" s="2"/>
      <c r="E4" s="3"/>
    </row>
    <row r="5" spans="2:5" x14ac:dyDescent="0.25">
      <c r="D5" s="2"/>
      <c r="E5" s="3"/>
    </row>
    <row r="6" spans="2:5" x14ac:dyDescent="0.25">
      <c r="D6" s="2"/>
      <c r="E6" s="3"/>
    </row>
    <row r="7" spans="2:5" x14ac:dyDescent="0.25">
      <c r="D7" s="2"/>
      <c r="E7" s="3"/>
    </row>
    <row r="8" spans="2:5" x14ac:dyDescent="0.25">
      <c r="D8" s="2"/>
      <c r="E8" s="3"/>
    </row>
    <row r="9" spans="2:5" x14ac:dyDescent="0.25">
      <c r="D9" s="2"/>
      <c r="E9" s="3"/>
    </row>
    <row r="10" spans="2:5" x14ac:dyDescent="0.25">
      <c r="D10" s="2"/>
      <c r="E10" s="3"/>
    </row>
    <row r="11" spans="2:5" x14ac:dyDescent="0.25">
      <c r="D11" s="1"/>
      <c r="E11" s="3"/>
    </row>
    <row r="12" spans="2:5" x14ac:dyDescent="0.25">
      <c r="D12" s="1"/>
      <c r="E12" s="3"/>
    </row>
    <row r="13" spans="2:5" x14ac:dyDescent="0.25">
      <c r="D13" s="1"/>
      <c r="E13" s="3"/>
    </row>
    <row r="14" spans="2:5" x14ac:dyDescent="0.25">
      <c r="D14" s="1"/>
      <c r="E14" s="3"/>
    </row>
    <row r="15" spans="2:5" x14ac:dyDescent="0.25">
      <c r="D15" s="1"/>
      <c r="E15" s="3"/>
    </row>
    <row r="16" spans="2:5" x14ac:dyDescent="0.25">
      <c r="D16" s="1"/>
      <c r="E16" s="3"/>
    </row>
    <row r="17" spans="4:5" x14ac:dyDescent="0.25">
      <c r="D17" s="1"/>
      <c r="E17" s="3"/>
    </row>
    <row r="18" spans="4:5" x14ac:dyDescent="0.25">
      <c r="D18" s="1"/>
      <c r="E18" s="3"/>
    </row>
    <row r="19" spans="4:5" x14ac:dyDescent="0.25">
      <c r="D19" s="1"/>
      <c r="E19" s="3"/>
    </row>
    <row r="20" spans="4:5" x14ac:dyDescent="0.25">
      <c r="D20" s="1"/>
      <c r="E20" s="3"/>
    </row>
    <row r="21" spans="4:5" x14ac:dyDescent="0.25">
      <c r="D21" s="1"/>
      <c r="E21" s="3"/>
    </row>
    <row r="22" spans="4:5" x14ac:dyDescent="0.25">
      <c r="D22" s="1"/>
      <c r="E22" s="3"/>
    </row>
    <row r="23" spans="4:5" x14ac:dyDescent="0.25">
      <c r="D23" s="1"/>
      <c r="E23" s="3"/>
    </row>
    <row r="24" spans="4:5" x14ac:dyDescent="0.25">
      <c r="D24" s="1"/>
      <c r="E24" s="3"/>
    </row>
    <row r="25" spans="4:5" x14ac:dyDescent="0.25">
      <c r="D25" s="1"/>
      <c r="E25" s="3"/>
    </row>
    <row r="26" spans="4:5" x14ac:dyDescent="0.25">
      <c r="D26" s="1"/>
      <c r="E26" s="3"/>
    </row>
    <row r="27" spans="4:5" x14ac:dyDescent="0.25">
      <c r="D27" s="1"/>
      <c r="E27" s="3"/>
    </row>
    <row r="28" spans="4:5" x14ac:dyDescent="0.25">
      <c r="D28" s="1"/>
      <c r="E28" s="3"/>
    </row>
    <row r="29" spans="4:5" x14ac:dyDescent="0.25">
      <c r="D29" s="1"/>
      <c r="E29" s="3"/>
    </row>
    <row r="30" spans="4:5" x14ac:dyDescent="0.25">
      <c r="D30" s="1"/>
      <c r="E30" s="3"/>
    </row>
    <row r="31" spans="4:5" x14ac:dyDescent="0.25">
      <c r="D31" s="1"/>
      <c r="E31" s="3"/>
    </row>
    <row r="32" spans="4:5" x14ac:dyDescent="0.25">
      <c r="D32" s="1"/>
      <c r="E32" s="3"/>
    </row>
    <row r="33" spans="4:5" x14ac:dyDescent="0.25">
      <c r="D33" s="1"/>
      <c r="E33" s="3"/>
    </row>
    <row r="34" spans="4:5" x14ac:dyDescent="0.25">
      <c r="D34" s="1"/>
      <c r="E34" s="3"/>
    </row>
    <row r="35" spans="4:5" x14ac:dyDescent="0.25">
      <c r="D35" s="1"/>
      <c r="E35" s="3"/>
    </row>
    <row r="36" spans="4:5" x14ac:dyDescent="0.25">
      <c r="D36" s="1"/>
      <c r="E36" s="3"/>
    </row>
    <row r="37" spans="4:5" x14ac:dyDescent="0.25">
      <c r="D37" s="1"/>
      <c r="E37" s="3"/>
    </row>
    <row r="38" spans="4:5" x14ac:dyDescent="0.25">
      <c r="D38" s="1"/>
      <c r="E38" s="3"/>
    </row>
    <row r="39" spans="4:5" x14ac:dyDescent="0.25">
      <c r="D39" s="1"/>
      <c r="E39" s="3"/>
    </row>
    <row r="40" spans="4:5" x14ac:dyDescent="0.25">
      <c r="D40" s="1"/>
      <c r="E40" s="3"/>
    </row>
    <row r="41" spans="4:5" x14ac:dyDescent="0.25">
      <c r="D41" s="1"/>
      <c r="E41" s="3"/>
    </row>
    <row r="42" spans="4:5" x14ac:dyDescent="0.25">
      <c r="D42" s="1"/>
      <c r="E42" s="3"/>
    </row>
    <row r="43" spans="4:5" x14ac:dyDescent="0.25">
      <c r="D43" s="1"/>
      <c r="E43" s="3"/>
    </row>
    <row r="44" spans="4:5" x14ac:dyDescent="0.25">
      <c r="D44" s="1"/>
      <c r="E44" s="3"/>
    </row>
    <row r="45" spans="4:5" x14ac:dyDescent="0.25">
      <c r="D45" s="1"/>
      <c r="E45" s="3"/>
    </row>
    <row r="46" spans="4:5" x14ac:dyDescent="0.25">
      <c r="D46" s="1"/>
      <c r="E46" s="3"/>
    </row>
    <row r="47" spans="4:5" x14ac:dyDescent="0.25">
      <c r="D47" s="1"/>
      <c r="E47" s="3"/>
    </row>
    <row r="48" spans="4:5" x14ac:dyDescent="0.25">
      <c r="D48" s="1"/>
      <c r="E48" s="3"/>
    </row>
    <row r="49" spans="4:5" x14ac:dyDescent="0.25">
      <c r="D49" s="1"/>
      <c r="E49" s="3"/>
    </row>
    <row r="50" spans="4:5" x14ac:dyDescent="0.25">
      <c r="D50" s="1"/>
      <c r="E50" s="3"/>
    </row>
    <row r="51" spans="4:5" x14ac:dyDescent="0.25">
      <c r="D51" s="1"/>
      <c r="E51" s="3"/>
    </row>
    <row r="52" spans="4:5" x14ac:dyDescent="0.25">
      <c r="D52" s="1"/>
      <c r="E52" s="3"/>
    </row>
    <row r="53" spans="4:5" x14ac:dyDescent="0.25">
      <c r="D53" s="1"/>
      <c r="E53" s="3"/>
    </row>
    <row r="54" spans="4:5" x14ac:dyDescent="0.25">
      <c r="D54" s="1"/>
      <c r="E54" s="3"/>
    </row>
    <row r="55" spans="4:5" x14ac:dyDescent="0.25">
      <c r="D55" s="1"/>
      <c r="E55" s="3"/>
    </row>
    <row r="56" spans="4:5" x14ac:dyDescent="0.25">
      <c r="D56" s="1"/>
      <c r="E56" s="3"/>
    </row>
    <row r="57" spans="4:5" x14ac:dyDescent="0.25">
      <c r="D57" s="1"/>
      <c r="E57" s="3"/>
    </row>
    <row r="58" spans="4:5" x14ac:dyDescent="0.25">
      <c r="D58" s="1"/>
      <c r="E58" s="3"/>
    </row>
    <row r="59" spans="4:5" x14ac:dyDescent="0.25">
      <c r="D59" s="1"/>
      <c r="E59" s="3"/>
    </row>
    <row r="60" spans="4:5" x14ac:dyDescent="0.25">
      <c r="D60" s="1"/>
      <c r="E60" s="3"/>
    </row>
    <row r="61" spans="4:5" x14ac:dyDescent="0.25">
      <c r="D61" s="1"/>
      <c r="E61" s="3"/>
    </row>
    <row r="62" spans="4:5" x14ac:dyDescent="0.25">
      <c r="D62" s="1"/>
      <c r="E62" s="3"/>
    </row>
    <row r="63" spans="4:5" x14ac:dyDescent="0.25">
      <c r="D63" s="1"/>
      <c r="E63" s="3"/>
    </row>
    <row r="64" spans="4:5" x14ac:dyDescent="0.25">
      <c r="D64" s="1"/>
      <c r="E64" s="3"/>
    </row>
    <row r="65" spans="4:5" x14ac:dyDescent="0.25">
      <c r="D65" s="1"/>
      <c r="E65" s="3"/>
    </row>
    <row r="66" spans="4:5" x14ac:dyDescent="0.25">
      <c r="D66" s="1"/>
      <c r="E66" s="3"/>
    </row>
    <row r="67" spans="4:5" x14ac:dyDescent="0.25">
      <c r="D67" s="1"/>
      <c r="E67" s="3"/>
    </row>
    <row r="68" spans="4:5" x14ac:dyDescent="0.25">
      <c r="D68" s="1"/>
      <c r="E68" s="3"/>
    </row>
    <row r="69" spans="4:5" x14ac:dyDescent="0.25">
      <c r="D69" s="1"/>
      <c r="E69" s="3"/>
    </row>
    <row r="70" spans="4:5" x14ac:dyDescent="0.25">
      <c r="D70" s="1"/>
      <c r="E70" s="3"/>
    </row>
    <row r="71" spans="4:5" x14ac:dyDescent="0.25">
      <c r="D71" s="1"/>
      <c r="E71" s="3"/>
    </row>
    <row r="72" spans="4:5" x14ac:dyDescent="0.25">
      <c r="D72" s="1"/>
      <c r="E72" s="3"/>
    </row>
    <row r="73" spans="4:5" x14ac:dyDescent="0.25">
      <c r="D73" s="1"/>
      <c r="E73" s="3"/>
    </row>
    <row r="74" spans="4:5" x14ac:dyDescent="0.25">
      <c r="D74" s="1"/>
      <c r="E74" s="3"/>
    </row>
    <row r="75" spans="4:5" x14ac:dyDescent="0.25">
      <c r="D75" s="1"/>
      <c r="E75" s="3"/>
    </row>
    <row r="76" spans="4:5" x14ac:dyDescent="0.25">
      <c r="D76" s="1"/>
      <c r="E76" s="3"/>
    </row>
    <row r="77" spans="4:5" x14ac:dyDescent="0.25">
      <c r="D77" s="1"/>
      <c r="E77" s="3"/>
    </row>
    <row r="78" spans="4:5" x14ac:dyDescent="0.25">
      <c r="D78" s="1"/>
      <c r="E78" s="3"/>
    </row>
    <row r="79" spans="4:5" x14ac:dyDescent="0.25">
      <c r="D79" s="1"/>
      <c r="E79" s="3"/>
    </row>
    <row r="80" spans="4:5" x14ac:dyDescent="0.25">
      <c r="D80" s="1"/>
      <c r="E80" s="3"/>
    </row>
    <row r="81" spans="4:5" x14ac:dyDescent="0.25">
      <c r="D81" s="1"/>
      <c r="E81" s="3"/>
    </row>
    <row r="82" spans="4:5" x14ac:dyDescent="0.25">
      <c r="D82" s="1"/>
      <c r="E82" s="3"/>
    </row>
    <row r="83" spans="4:5" x14ac:dyDescent="0.25">
      <c r="D83" s="1"/>
      <c r="E83" s="3"/>
    </row>
    <row r="84" spans="4:5" x14ac:dyDescent="0.25">
      <c r="D84" s="1"/>
      <c r="E84" s="3"/>
    </row>
    <row r="85" spans="4:5" x14ac:dyDescent="0.25">
      <c r="D85" s="1"/>
      <c r="E85" s="3"/>
    </row>
    <row r="86" spans="4:5" x14ac:dyDescent="0.25">
      <c r="D86" s="1"/>
      <c r="E86" s="3"/>
    </row>
    <row r="87" spans="4:5" x14ac:dyDescent="0.25">
      <c r="D87" s="1"/>
      <c r="E87" s="3"/>
    </row>
    <row r="88" spans="4:5" x14ac:dyDescent="0.25">
      <c r="D88" s="1"/>
      <c r="E88" s="3"/>
    </row>
    <row r="89" spans="4:5" x14ac:dyDescent="0.25">
      <c r="D89" s="1"/>
      <c r="E89" s="3"/>
    </row>
    <row r="90" spans="4:5" x14ac:dyDescent="0.25">
      <c r="D90" s="1"/>
      <c r="E90" s="3"/>
    </row>
    <row r="91" spans="4:5" x14ac:dyDescent="0.25">
      <c r="D91" s="1"/>
      <c r="E91" s="3"/>
    </row>
    <row r="92" spans="4:5" x14ac:dyDescent="0.25">
      <c r="D92" s="1"/>
      <c r="E92" s="3"/>
    </row>
    <row r="93" spans="4:5" x14ac:dyDescent="0.25">
      <c r="D93" s="1"/>
      <c r="E93" s="3"/>
    </row>
    <row r="94" spans="4:5" x14ac:dyDescent="0.25">
      <c r="D94" s="1"/>
      <c r="E94" s="3"/>
    </row>
    <row r="95" spans="4:5" x14ac:dyDescent="0.25">
      <c r="D95" s="1"/>
      <c r="E95" s="3"/>
    </row>
    <row r="96" spans="4:5" x14ac:dyDescent="0.25">
      <c r="D96" s="1"/>
      <c r="E96" s="3"/>
    </row>
    <row r="97" spans="4:5" x14ac:dyDescent="0.25">
      <c r="D97" s="1"/>
      <c r="E97" s="3"/>
    </row>
    <row r="98" spans="4:5" x14ac:dyDescent="0.25">
      <c r="D98" s="1"/>
      <c r="E98" s="3"/>
    </row>
    <row r="99" spans="4:5" x14ac:dyDescent="0.25">
      <c r="D99" s="1"/>
      <c r="E99" s="3"/>
    </row>
    <row r="100" spans="4:5" x14ac:dyDescent="0.25">
      <c r="D100" s="1"/>
      <c r="E100" s="3"/>
    </row>
    <row r="101" spans="4:5" x14ac:dyDescent="0.25">
      <c r="D101" s="1"/>
      <c r="E101" s="3"/>
    </row>
    <row r="102" spans="4:5" x14ac:dyDescent="0.25">
      <c r="D102" s="1"/>
      <c r="E102" s="3"/>
    </row>
    <row r="103" spans="4:5" x14ac:dyDescent="0.25">
      <c r="D103" s="1"/>
      <c r="E103" s="3"/>
    </row>
    <row r="104" spans="4:5" x14ac:dyDescent="0.25">
      <c r="D104" s="1"/>
      <c r="E104" s="3"/>
    </row>
    <row r="105" spans="4:5" x14ac:dyDescent="0.25">
      <c r="D105" s="1"/>
      <c r="E105" s="3"/>
    </row>
    <row r="106" spans="4:5" x14ac:dyDescent="0.25">
      <c r="D106" s="1"/>
      <c r="E106" s="3"/>
    </row>
    <row r="107" spans="4:5" x14ac:dyDescent="0.25">
      <c r="D107" s="1"/>
      <c r="E107" s="3"/>
    </row>
    <row r="108" spans="4:5" x14ac:dyDescent="0.25">
      <c r="D108" s="1"/>
      <c r="E108" s="3"/>
    </row>
    <row r="109" spans="4:5" x14ac:dyDescent="0.25">
      <c r="D109" s="1"/>
      <c r="E109" s="3"/>
    </row>
    <row r="110" spans="4:5" x14ac:dyDescent="0.25">
      <c r="D110" s="1"/>
      <c r="E110" s="3"/>
    </row>
    <row r="111" spans="4:5" x14ac:dyDescent="0.25">
      <c r="D111" s="1"/>
      <c r="E111" s="3"/>
    </row>
    <row r="112" spans="4:5" x14ac:dyDescent="0.25">
      <c r="D112" s="1"/>
      <c r="E112" s="3"/>
    </row>
    <row r="113" spans="4:5" x14ac:dyDescent="0.25">
      <c r="D113" s="1"/>
      <c r="E113" s="3"/>
    </row>
    <row r="114" spans="4:5" x14ac:dyDescent="0.25">
      <c r="D114" s="1"/>
      <c r="E114" s="3"/>
    </row>
    <row r="115" spans="4:5" x14ac:dyDescent="0.25">
      <c r="D115" s="1"/>
      <c r="E115" s="3"/>
    </row>
    <row r="116" spans="4:5" x14ac:dyDescent="0.25">
      <c r="D116" s="1"/>
      <c r="E116" s="3"/>
    </row>
    <row r="117" spans="4:5" x14ac:dyDescent="0.25">
      <c r="D117" s="1"/>
      <c r="E117" s="3"/>
    </row>
    <row r="118" spans="4:5" x14ac:dyDescent="0.25">
      <c r="D118" s="1"/>
      <c r="E118" s="3"/>
    </row>
    <row r="119" spans="4:5" x14ac:dyDescent="0.25">
      <c r="D119" s="1"/>
      <c r="E119" s="3"/>
    </row>
    <row r="120" spans="4:5" x14ac:dyDescent="0.25">
      <c r="D120" s="1"/>
      <c r="E120" s="3"/>
    </row>
    <row r="121" spans="4:5" x14ac:dyDescent="0.25">
      <c r="D121" s="1"/>
      <c r="E121" s="3"/>
    </row>
    <row r="122" spans="4:5" x14ac:dyDescent="0.25">
      <c r="D122" s="1"/>
      <c r="E122" s="3"/>
    </row>
    <row r="123" spans="4:5" x14ac:dyDescent="0.25">
      <c r="D123" s="1"/>
      <c r="E123" s="3"/>
    </row>
    <row r="124" spans="4:5" x14ac:dyDescent="0.25">
      <c r="D124" s="1"/>
      <c r="E124" s="3"/>
    </row>
    <row r="125" spans="4:5" x14ac:dyDescent="0.25">
      <c r="D125" s="1"/>
      <c r="E125" s="3"/>
    </row>
    <row r="126" spans="4:5" x14ac:dyDescent="0.25">
      <c r="D126" s="1"/>
      <c r="E126" s="3"/>
    </row>
    <row r="127" spans="4:5" x14ac:dyDescent="0.25">
      <c r="D127" s="1"/>
      <c r="E127" s="3"/>
    </row>
    <row r="128" spans="4:5" x14ac:dyDescent="0.25">
      <c r="D128" s="1"/>
      <c r="E128" s="3"/>
    </row>
    <row r="129" spans="4:5" x14ac:dyDescent="0.25">
      <c r="D129" s="1"/>
      <c r="E129" s="3"/>
    </row>
    <row r="130" spans="4:5" x14ac:dyDescent="0.25">
      <c r="D130" s="1"/>
      <c r="E130" s="3"/>
    </row>
    <row r="131" spans="4:5" x14ac:dyDescent="0.25">
      <c r="D131" s="1"/>
      <c r="E131" s="3"/>
    </row>
    <row r="132" spans="4:5" x14ac:dyDescent="0.25">
      <c r="D132" s="1"/>
      <c r="E132" s="3"/>
    </row>
    <row r="133" spans="4:5" x14ac:dyDescent="0.25">
      <c r="D133" s="1"/>
      <c r="E133" s="3"/>
    </row>
    <row r="134" spans="4:5" x14ac:dyDescent="0.25">
      <c r="D134" s="1"/>
      <c r="E134" s="3"/>
    </row>
    <row r="135" spans="4:5" x14ac:dyDescent="0.25">
      <c r="D135" s="1"/>
      <c r="E135" s="3"/>
    </row>
    <row r="136" spans="4:5" x14ac:dyDescent="0.25">
      <c r="D136" s="1"/>
      <c r="E136" s="3"/>
    </row>
    <row r="137" spans="4:5" x14ac:dyDescent="0.25">
      <c r="D137" s="1"/>
      <c r="E137" s="3"/>
    </row>
    <row r="138" spans="4:5" x14ac:dyDescent="0.25">
      <c r="D138" s="1"/>
      <c r="E138" s="3"/>
    </row>
    <row r="139" spans="4:5" x14ac:dyDescent="0.25">
      <c r="D139" s="1"/>
      <c r="E139" s="3"/>
    </row>
    <row r="140" spans="4:5" x14ac:dyDescent="0.25">
      <c r="D140" s="1"/>
      <c r="E140" s="3"/>
    </row>
    <row r="141" spans="4:5" x14ac:dyDescent="0.25">
      <c r="D141" s="1"/>
      <c r="E141" s="3"/>
    </row>
    <row r="142" spans="4:5" x14ac:dyDescent="0.25">
      <c r="D142" s="1"/>
      <c r="E142" s="3"/>
    </row>
    <row r="143" spans="4:5" x14ac:dyDescent="0.25">
      <c r="D143" s="1"/>
      <c r="E143" s="3"/>
    </row>
    <row r="144" spans="4:5" x14ac:dyDescent="0.25">
      <c r="D144" s="1"/>
      <c r="E144" s="3"/>
    </row>
    <row r="145" spans="4:5" x14ac:dyDescent="0.25">
      <c r="D145" s="1"/>
      <c r="E145" s="3"/>
    </row>
    <row r="146" spans="4:5" x14ac:dyDescent="0.25">
      <c r="D146" s="1"/>
      <c r="E146" s="3"/>
    </row>
    <row r="147" spans="4:5" x14ac:dyDescent="0.25">
      <c r="D147" s="1"/>
      <c r="E147" s="3"/>
    </row>
    <row r="148" spans="4:5" x14ac:dyDescent="0.25">
      <c r="D148" s="1"/>
      <c r="E148" s="3"/>
    </row>
    <row r="149" spans="4:5" x14ac:dyDescent="0.25">
      <c r="D149" s="1"/>
      <c r="E149" s="3"/>
    </row>
    <row r="150" spans="4:5" x14ac:dyDescent="0.25">
      <c r="D150" s="1"/>
      <c r="E150" s="3"/>
    </row>
    <row r="151" spans="4:5" x14ac:dyDescent="0.25">
      <c r="D151" s="1"/>
      <c r="E151" s="3"/>
    </row>
    <row r="152" spans="4:5" x14ac:dyDescent="0.25">
      <c r="D152" s="1"/>
      <c r="E152" s="3"/>
    </row>
    <row r="153" spans="4:5" x14ac:dyDescent="0.25">
      <c r="D153" s="1"/>
      <c r="E153" s="3"/>
    </row>
    <row r="154" spans="4:5" x14ac:dyDescent="0.25">
      <c r="D154" s="1"/>
      <c r="E154" s="3"/>
    </row>
    <row r="155" spans="4:5" x14ac:dyDescent="0.25">
      <c r="D155" s="1"/>
      <c r="E155" s="3"/>
    </row>
    <row r="156" spans="4:5" x14ac:dyDescent="0.25">
      <c r="D156" s="1"/>
      <c r="E156" s="3"/>
    </row>
    <row r="157" spans="4:5" x14ac:dyDescent="0.25">
      <c r="D157" s="1"/>
      <c r="E157" s="3"/>
    </row>
    <row r="158" spans="4:5" x14ac:dyDescent="0.25">
      <c r="D158" s="1"/>
      <c r="E158" s="3"/>
    </row>
    <row r="159" spans="4:5" x14ac:dyDescent="0.25">
      <c r="D159" s="1"/>
      <c r="E159" s="3"/>
    </row>
    <row r="160" spans="4:5" x14ac:dyDescent="0.25">
      <c r="D160" s="1"/>
      <c r="E160" s="3"/>
    </row>
    <row r="161" spans="4:5" x14ac:dyDescent="0.25">
      <c r="D161" s="1"/>
      <c r="E161" s="3"/>
    </row>
    <row r="162" spans="4:5" x14ac:dyDescent="0.25">
      <c r="D162" s="1"/>
      <c r="E162" s="3"/>
    </row>
    <row r="163" spans="4:5" x14ac:dyDescent="0.25">
      <c r="D163" s="1"/>
      <c r="E163" s="3"/>
    </row>
    <row r="164" spans="4:5" x14ac:dyDescent="0.25">
      <c r="D164" s="1"/>
      <c r="E164" s="3"/>
    </row>
    <row r="165" spans="4:5" x14ac:dyDescent="0.25">
      <c r="D165" s="1"/>
      <c r="E165" s="3"/>
    </row>
    <row r="166" spans="4:5" x14ac:dyDescent="0.25">
      <c r="D166" s="1"/>
      <c r="E166" s="3"/>
    </row>
    <row r="167" spans="4:5" x14ac:dyDescent="0.25">
      <c r="D167" s="1"/>
      <c r="E167" s="3"/>
    </row>
    <row r="168" spans="4:5" x14ac:dyDescent="0.25">
      <c r="D168" s="1"/>
      <c r="E168" s="3"/>
    </row>
    <row r="169" spans="4:5" x14ac:dyDescent="0.25">
      <c r="D169" s="1"/>
      <c r="E169" s="3"/>
    </row>
    <row r="170" spans="4:5" x14ac:dyDescent="0.25">
      <c r="D170" s="1"/>
      <c r="E170" s="3"/>
    </row>
    <row r="171" spans="4:5" x14ac:dyDescent="0.25">
      <c r="D171" s="1"/>
      <c r="E171" s="3"/>
    </row>
    <row r="172" spans="4:5" x14ac:dyDescent="0.25">
      <c r="D172" s="1"/>
      <c r="E172" s="3"/>
    </row>
    <row r="173" spans="4:5" x14ac:dyDescent="0.25">
      <c r="D173" s="1"/>
      <c r="E173" s="3"/>
    </row>
    <row r="174" spans="4:5" x14ac:dyDescent="0.25">
      <c r="D174" s="1"/>
      <c r="E174" s="3"/>
    </row>
    <row r="175" spans="4:5" x14ac:dyDescent="0.25">
      <c r="D175" s="1"/>
      <c r="E175" s="3"/>
    </row>
    <row r="176" spans="4:5" x14ac:dyDescent="0.25">
      <c r="D176" s="1"/>
      <c r="E176" s="3"/>
    </row>
    <row r="177" spans="4:5" x14ac:dyDescent="0.25">
      <c r="D177" s="1"/>
      <c r="E177" s="3"/>
    </row>
    <row r="178" spans="4:5" x14ac:dyDescent="0.25">
      <c r="D178" s="1"/>
      <c r="E178" s="3"/>
    </row>
    <row r="179" spans="4:5" x14ac:dyDescent="0.25">
      <c r="D179" s="1"/>
      <c r="E179" s="3"/>
    </row>
    <row r="180" spans="4:5" x14ac:dyDescent="0.25">
      <c r="D180" s="1"/>
      <c r="E180" s="3"/>
    </row>
    <row r="181" spans="4:5" x14ac:dyDescent="0.25">
      <c r="D181" s="1"/>
      <c r="E181" s="3"/>
    </row>
    <row r="182" spans="4:5" x14ac:dyDescent="0.25">
      <c r="D182" s="1"/>
      <c r="E182" s="3"/>
    </row>
    <row r="183" spans="4:5" x14ac:dyDescent="0.25">
      <c r="D183" s="1"/>
      <c r="E183" s="3"/>
    </row>
    <row r="184" spans="4:5" x14ac:dyDescent="0.25">
      <c r="D184" s="1"/>
      <c r="E184" s="3"/>
    </row>
    <row r="185" spans="4:5" x14ac:dyDescent="0.25">
      <c r="D185" s="1"/>
      <c r="E185" s="3"/>
    </row>
    <row r="186" spans="4:5" x14ac:dyDescent="0.25">
      <c r="D186" s="1"/>
      <c r="E186" s="3"/>
    </row>
    <row r="187" spans="4:5" x14ac:dyDescent="0.25">
      <c r="D187" s="1"/>
      <c r="E187" s="3"/>
    </row>
    <row r="188" spans="4:5" x14ac:dyDescent="0.25">
      <c r="D188" s="1"/>
      <c r="E188" s="3"/>
    </row>
    <row r="189" spans="4:5" x14ac:dyDescent="0.25">
      <c r="D189" s="1"/>
      <c r="E189" s="3"/>
    </row>
    <row r="190" spans="4:5" x14ac:dyDescent="0.25">
      <c r="D190" s="1"/>
      <c r="E190" s="3"/>
    </row>
    <row r="191" spans="4:5" x14ac:dyDescent="0.25">
      <c r="D191" s="1"/>
      <c r="E191" s="3"/>
    </row>
    <row r="192" spans="4:5" x14ac:dyDescent="0.25">
      <c r="D192" s="1"/>
      <c r="E192" s="3"/>
    </row>
    <row r="193" spans="4:5" x14ac:dyDescent="0.25">
      <c r="D193" s="1"/>
      <c r="E193" s="3"/>
    </row>
    <row r="194" spans="4:5" x14ac:dyDescent="0.25">
      <c r="D194" s="1"/>
      <c r="E194" s="3"/>
    </row>
    <row r="195" spans="4:5" x14ac:dyDescent="0.25">
      <c r="D195" s="1"/>
      <c r="E195" s="3"/>
    </row>
    <row r="196" spans="4:5" x14ac:dyDescent="0.25">
      <c r="D196" s="1"/>
      <c r="E196" s="3"/>
    </row>
    <row r="197" spans="4:5" x14ac:dyDescent="0.25">
      <c r="D197" s="1"/>
      <c r="E197" s="3"/>
    </row>
    <row r="198" spans="4:5" x14ac:dyDescent="0.25">
      <c r="D198" s="1"/>
      <c r="E198" s="3"/>
    </row>
    <row r="199" spans="4:5" x14ac:dyDescent="0.25">
      <c r="D199" s="1"/>
      <c r="E199" s="3"/>
    </row>
    <row r="200" spans="4:5" x14ac:dyDescent="0.25">
      <c r="D200" s="1"/>
      <c r="E200" s="3"/>
    </row>
    <row r="201" spans="4:5" x14ac:dyDescent="0.25">
      <c r="D201" s="1"/>
      <c r="E201" s="3"/>
    </row>
    <row r="202" spans="4:5" x14ac:dyDescent="0.25">
      <c r="D202" s="1"/>
      <c r="E202" s="3"/>
    </row>
    <row r="203" spans="4:5" x14ac:dyDescent="0.25">
      <c r="D203" s="1"/>
      <c r="E203" s="3"/>
    </row>
    <row r="204" spans="4:5" x14ac:dyDescent="0.25">
      <c r="D204" s="1"/>
      <c r="E204" s="3"/>
    </row>
    <row r="205" spans="4:5" x14ac:dyDescent="0.25">
      <c r="D205" s="1"/>
      <c r="E205" s="3"/>
    </row>
    <row r="206" spans="4:5" x14ac:dyDescent="0.25">
      <c r="D206" s="1"/>
      <c r="E206" s="3"/>
    </row>
    <row r="207" spans="4:5" x14ac:dyDescent="0.25">
      <c r="D207" s="1"/>
      <c r="E207" s="3"/>
    </row>
    <row r="208" spans="4:5" x14ac:dyDescent="0.25">
      <c r="D208" s="1"/>
      <c r="E208" s="3"/>
    </row>
    <row r="209" spans="4:5" x14ac:dyDescent="0.25">
      <c r="D209" s="1"/>
      <c r="E209" s="3"/>
    </row>
    <row r="210" spans="4:5" x14ac:dyDescent="0.25">
      <c r="D210" s="1"/>
      <c r="E210" s="3"/>
    </row>
    <row r="211" spans="4:5" x14ac:dyDescent="0.25">
      <c r="D211" s="1"/>
      <c r="E211" s="3"/>
    </row>
    <row r="212" spans="4:5" x14ac:dyDescent="0.25">
      <c r="D212" s="1"/>
      <c r="E212" s="3"/>
    </row>
    <row r="213" spans="4:5" x14ac:dyDescent="0.25">
      <c r="D213" s="1"/>
      <c r="E213" s="3"/>
    </row>
    <row r="214" spans="4:5" x14ac:dyDescent="0.25">
      <c r="D214" s="1"/>
      <c r="E214" s="3"/>
    </row>
    <row r="215" spans="4:5" x14ac:dyDescent="0.25">
      <c r="D215" s="1"/>
      <c r="E215" s="3"/>
    </row>
    <row r="216" spans="4:5" x14ac:dyDescent="0.25">
      <c r="D216" s="1"/>
      <c r="E216" s="3"/>
    </row>
    <row r="217" spans="4:5" x14ac:dyDescent="0.25">
      <c r="D217" s="1"/>
      <c r="E217" s="3"/>
    </row>
    <row r="218" spans="4:5" x14ac:dyDescent="0.25">
      <c r="D218" s="1"/>
      <c r="E218" s="3"/>
    </row>
    <row r="219" spans="4:5" x14ac:dyDescent="0.25">
      <c r="D219" s="1"/>
      <c r="E219" s="3"/>
    </row>
    <row r="220" spans="4:5" x14ac:dyDescent="0.25">
      <c r="D220" s="1"/>
      <c r="E220" s="3"/>
    </row>
    <row r="221" spans="4:5" x14ac:dyDescent="0.25">
      <c r="D221" s="1"/>
      <c r="E221" s="3"/>
    </row>
    <row r="222" spans="4:5" x14ac:dyDescent="0.25">
      <c r="D222" s="1"/>
      <c r="E222" s="3"/>
    </row>
    <row r="223" spans="4:5" x14ac:dyDescent="0.25">
      <c r="D223" s="1"/>
      <c r="E223" s="3"/>
    </row>
    <row r="224" spans="4:5" x14ac:dyDescent="0.25">
      <c r="D224" s="1"/>
      <c r="E224" s="3"/>
    </row>
    <row r="225" spans="4:5" x14ac:dyDescent="0.25">
      <c r="D225" s="1"/>
      <c r="E225" s="3"/>
    </row>
    <row r="226" spans="4:5" x14ac:dyDescent="0.25">
      <c r="D226" s="1"/>
      <c r="E226" s="3"/>
    </row>
    <row r="227" spans="4:5" x14ac:dyDescent="0.25">
      <c r="D227" s="1"/>
      <c r="E227" s="3"/>
    </row>
    <row r="228" spans="4:5" x14ac:dyDescent="0.25">
      <c r="D228" s="1"/>
      <c r="E228" s="3"/>
    </row>
    <row r="229" spans="4:5" x14ac:dyDescent="0.25">
      <c r="D229" s="1"/>
      <c r="E229" s="3"/>
    </row>
    <row r="230" spans="4:5" x14ac:dyDescent="0.25">
      <c r="D230" s="1"/>
      <c r="E230" s="3"/>
    </row>
    <row r="231" spans="4:5" x14ac:dyDescent="0.25">
      <c r="D231" s="1"/>
      <c r="E231" s="3"/>
    </row>
    <row r="232" spans="4:5" x14ac:dyDescent="0.25">
      <c r="D232" s="1"/>
      <c r="E232" s="3"/>
    </row>
    <row r="233" spans="4:5" x14ac:dyDescent="0.25">
      <c r="D233" s="1"/>
      <c r="E233" s="3"/>
    </row>
    <row r="234" spans="4:5" x14ac:dyDescent="0.25">
      <c r="D234" s="1"/>
      <c r="E234" s="3"/>
    </row>
    <row r="235" spans="4:5" x14ac:dyDescent="0.25">
      <c r="D235" s="1"/>
      <c r="E235" s="3"/>
    </row>
    <row r="236" spans="4:5" x14ac:dyDescent="0.25">
      <c r="D236" s="1"/>
      <c r="E236" s="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0359-2397-4925-B7F2-F8358F97D418}">
  <sheetPr codeName="Sheet13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D3" s="2"/>
      <c r="I3" s="4"/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E8" s="4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  <c r="E12" s="4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16" spans="2:14" x14ac:dyDescent="0.25">
      <c r="D16" s="2"/>
    </row>
    <row r="17" spans="4:4" x14ac:dyDescent="0.25">
      <c r="D17" s="2"/>
    </row>
    <row r="18" spans="4:4" x14ac:dyDescent="0.25">
      <c r="D18" s="2"/>
    </row>
    <row r="19" spans="4:4" x14ac:dyDescent="0.25">
      <c r="D19" s="2"/>
    </row>
    <row r="251" spans="2:10" x14ac:dyDescent="0.25">
      <c r="B251" t="s">
        <v>24</v>
      </c>
      <c r="D251"/>
      <c r="E251">
        <f>SUBTOTAL(103,Table146822[Data])</f>
        <v>0</v>
      </c>
      <c r="G251" t="s">
        <v>24</v>
      </c>
      <c r="J251">
        <f>SUBTOTAL(103,Table257923[Data])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AFE7E-C32B-495C-BF86-9D19AEEBEC33}">
  <sheetPr codeName="Sheet14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D3" s="2"/>
      <c r="I3" s="4"/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SUBTOTAL(103,Table124[Data])</f>
        <v>0</v>
      </c>
      <c r="G251" t="s">
        <v>24</v>
      </c>
      <c r="J251">
        <f>SUBTOTAL(103,Table225[Data])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6B73-975B-4751-96FE-E1012759A4D4}">
  <sheetPr codeName="Sheet3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3" max="13" width="10.710937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3100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3100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B3">
        <v>1</v>
      </c>
      <c r="C3" t="s">
        <v>6</v>
      </c>
      <c r="D3" s="2">
        <v>150</v>
      </c>
      <c r="E3" s="3" t="s">
        <v>25</v>
      </c>
      <c r="I3" s="4"/>
    </row>
    <row r="4" spans="2:14" x14ac:dyDescent="0.25">
      <c r="B4">
        <v>2</v>
      </c>
      <c r="C4" t="s">
        <v>6</v>
      </c>
      <c r="D4" s="2">
        <v>150</v>
      </c>
      <c r="E4" s="4" t="s">
        <v>25</v>
      </c>
      <c r="I4" s="4"/>
    </row>
    <row r="5" spans="2:14" x14ac:dyDescent="0.25">
      <c r="B5">
        <v>3</v>
      </c>
      <c r="C5" t="s">
        <v>6</v>
      </c>
      <c r="D5" s="2">
        <v>150</v>
      </c>
      <c r="E5" s="3" t="s">
        <v>25</v>
      </c>
      <c r="I5" s="4"/>
    </row>
    <row r="6" spans="2:14" x14ac:dyDescent="0.25">
      <c r="B6">
        <v>4</v>
      </c>
      <c r="C6" t="s">
        <v>6</v>
      </c>
      <c r="D6" s="2">
        <v>150</v>
      </c>
      <c r="E6" s="3" t="s">
        <v>25</v>
      </c>
      <c r="I6" s="4"/>
    </row>
    <row r="7" spans="2:14" x14ac:dyDescent="0.25">
      <c r="B7">
        <v>5</v>
      </c>
      <c r="C7" t="s">
        <v>6</v>
      </c>
      <c r="D7" s="2">
        <v>150</v>
      </c>
      <c r="E7" s="3" t="s">
        <v>25</v>
      </c>
      <c r="I7" s="4"/>
      <c r="N7" s="1"/>
    </row>
    <row r="8" spans="2:14" x14ac:dyDescent="0.25">
      <c r="B8">
        <v>6</v>
      </c>
      <c r="C8" t="s">
        <v>4</v>
      </c>
      <c r="D8" s="2">
        <v>150</v>
      </c>
      <c r="E8" s="3" t="s">
        <v>25</v>
      </c>
      <c r="I8" s="4"/>
    </row>
    <row r="9" spans="2:14" x14ac:dyDescent="0.25">
      <c r="B9">
        <v>7</v>
      </c>
      <c r="C9" t="s">
        <v>4</v>
      </c>
      <c r="D9" s="2">
        <v>150</v>
      </c>
      <c r="E9" s="3" t="s">
        <v>25</v>
      </c>
      <c r="I9" s="4"/>
    </row>
    <row r="10" spans="2:14" x14ac:dyDescent="0.25">
      <c r="B10">
        <v>8</v>
      </c>
      <c r="C10" t="s">
        <v>3</v>
      </c>
      <c r="D10" s="2">
        <v>150</v>
      </c>
      <c r="E10" s="3" t="s">
        <v>25</v>
      </c>
    </row>
    <row r="11" spans="2:14" x14ac:dyDescent="0.25">
      <c r="B11">
        <v>9</v>
      </c>
      <c r="C11" t="s">
        <v>3</v>
      </c>
      <c r="D11" s="2">
        <v>150</v>
      </c>
      <c r="E11" s="3" t="s">
        <v>25</v>
      </c>
    </row>
    <row r="12" spans="2:14" x14ac:dyDescent="0.25">
      <c r="B12">
        <v>10</v>
      </c>
      <c r="C12" t="s">
        <v>3</v>
      </c>
      <c r="D12" s="2">
        <v>150</v>
      </c>
      <c r="E12" s="3" t="s">
        <v>25</v>
      </c>
    </row>
    <row r="13" spans="2:14" x14ac:dyDescent="0.25">
      <c r="B13">
        <v>11</v>
      </c>
      <c r="C13" t="s">
        <v>4</v>
      </c>
      <c r="D13" s="2">
        <v>400</v>
      </c>
      <c r="E13" s="3" t="s">
        <v>26</v>
      </c>
    </row>
    <row r="14" spans="2:14" x14ac:dyDescent="0.25">
      <c r="B14">
        <v>12</v>
      </c>
      <c r="C14" t="s">
        <v>4</v>
      </c>
      <c r="D14" s="2">
        <v>400</v>
      </c>
      <c r="E14" s="3" t="s">
        <v>26</v>
      </c>
    </row>
    <row r="15" spans="2:14" x14ac:dyDescent="0.25">
      <c r="B15">
        <v>13</v>
      </c>
      <c r="C15" t="s">
        <v>4</v>
      </c>
      <c r="D15" s="2">
        <v>400</v>
      </c>
      <c r="E15" s="3" t="s">
        <v>26</v>
      </c>
    </row>
    <row r="16" spans="2:14" x14ac:dyDescent="0.25">
      <c r="B16">
        <v>14</v>
      </c>
      <c r="C16" t="s">
        <v>4</v>
      </c>
      <c r="D16" s="2">
        <v>400</v>
      </c>
      <c r="E16" s="3" t="s">
        <v>26</v>
      </c>
    </row>
    <row r="251" spans="2:10" x14ac:dyDescent="0.25">
      <c r="B251" t="s">
        <v>24</v>
      </c>
      <c r="D251" s="12"/>
      <c r="E251">
        <f>SUBTOTAL(103,Table1[Data])</f>
        <v>14</v>
      </c>
      <c r="G251" t="s">
        <v>24</v>
      </c>
      <c r="J251">
        <f>SUBTOTAL(103,Table2[Data])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E6D5C-8360-4D05-B7A8-3A49AB376A08}">
  <sheetPr codeName="Sheet4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D3" s="2"/>
      <c r="I3" s="4"/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SUBTOTAL(103,Table14[Data])</f>
        <v>0</v>
      </c>
      <c r="G251" t="s">
        <v>24</v>
      </c>
      <c r="J251">
        <f>SUBTOTAL(103,Table25[Data])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61F06-E5B9-4EDB-8957-74B937680F98}">
  <sheetPr codeName="Sheet5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D3" s="2"/>
      <c r="I3" s="4"/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SUBTOTAL(103,Table146[Data])</f>
        <v>0</v>
      </c>
      <c r="G251" t="s">
        <v>24</v>
      </c>
      <c r="J251">
        <f>SUBTOTAL(103,Table257[Data])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C4726-DA6A-471C-A1F4-A751C75E2E39}">
  <sheetPr codeName="Sheet6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15</v>
      </c>
      <c r="G1" s="10"/>
      <c r="H1" s="6" t="s">
        <v>21</v>
      </c>
      <c r="I1" s="9" t="s">
        <v>22</v>
      </c>
      <c r="J1" s="13">
        <f>SUM(I3:I250)</f>
        <v>15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B3">
        <v>1</v>
      </c>
      <c r="C3" t="s">
        <v>3</v>
      </c>
      <c r="D3" s="2">
        <v>15</v>
      </c>
      <c r="E3" s="3" t="s">
        <v>31</v>
      </c>
      <c r="G3">
        <v>1</v>
      </c>
      <c r="H3" t="s">
        <v>32</v>
      </c>
      <c r="I3" s="4">
        <v>15</v>
      </c>
      <c r="J3" t="s">
        <v>31</v>
      </c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SUBTOTAL(103,Table1468[Data])</f>
        <v>1</v>
      </c>
      <c r="G251" t="s">
        <v>24</v>
      </c>
      <c r="J251">
        <f>SUBTOTAL(103,Table2579[Data])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1FB40-A1B9-4E06-AE0E-F13DC2D8E7B4}">
  <sheetPr codeName="Sheet7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D3" s="2"/>
      <c r="I3" s="4"/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SUBTOTAL(103,Table146810[Data])</f>
        <v>0</v>
      </c>
      <c r="G251" t="s">
        <v>24</v>
      </c>
      <c r="J251">
        <f>SUBTOTAL(103,Table257911[Data])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58E2-77B9-437D-8A73-9E994A90924F}">
  <sheetPr codeName="Sheet8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145</v>
      </c>
      <c r="G1" s="10"/>
      <c r="H1" s="6" t="s">
        <v>21</v>
      </c>
      <c r="I1" s="9" t="s">
        <v>22</v>
      </c>
      <c r="J1" s="13">
        <f>SUM(I3:I250)</f>
        <v>270</v>
      </c>
      <c r="L1" s="14" t="s">
        <v>27</v>
      </c>
      <c r="M1" s="15">
        <f>E1-J1</f>
        <v>-125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B3">
        <v>1</v>
      </c>
      <c r="C3" t="s">
        <v>3</v>
      </c>
      <c r="D3" s="2">
        <v>145</v>
      </c>
      <c r="E3" s="3" t="s">
        <v>29</v>
      </c>
      <c r="G3">
        <v>1</v>
      </c>
      <c r="H3" t="s">
        <v>28</v>
      </c>
      <c r="I3" s="4">
        <v>145</v>
      </c>
      <c r="J3" t="s">
        <v>29</v>
      </c>
    </row>
    <row r="4" spans="2:14" x14ac:dyDescent="0.25">
      <c r="D4" s="2"/>
      <c r="E4" s="4"/>
      <c r="G4">
        <v>2</v>
      </c>
      <c r="H4" t="s">
        <v>30</v>
      </c>
      <c r="I4" s="4">
        <v>125</v>
      </c>
      <c r="J4" t="s">
        <v>29</v>
      </c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SUBTOTAL(103,Table14681012[Data])</f>
        <v>1</v>
      </c>
      <c r="G251" t="s">
        <v>24</v>
      </c>
      <c r="J251">
        <f>SUBTOTAL(103,Table25791113[Data])</f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FE00-5761-448B-AA97-6077280B4CEB}">
  <sheetPr codeName="Sheet9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D3" s="2"/>
      <c r="I3" s="4"/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SUBTOTAL(103,Table1468101214[Data])</f>
        <v>0</v>
      </c>
      <c r="G251" t="s">
        <v>24</v>
      </c>
      <c r="J251">
        <f>SUBTOTAL(103,Table2579111315[Data])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4A443-6A9A-4475-91B5-E3F165AFEE84}">
  <sheetPr codeName="Sheet10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D3" s="2"/>
      <c r="I3" s="4"/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SUBTOTAL(103,Table146810121416[Data])</f>
        <v>0</v>
      </c>
      <c r="G251" t="s">
        <v>24</v>
      </c>
      <c r="J251">
        <f>SUBTOTAL(103,Table257911131517[Data])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11606-0A49-4FC5-9CD9-2B411C28DF9D}">
  <sheetPr codeName="Sheet11"/>
  <dimension ref="B1:N251"/>
  <sheetViews>
    <sheetView showGridLines="0" zoomScaleNormal="100" workbookViewId="0">
      <selection activeCell="L1" sqref="L1:M1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D3" s="2"/>
      <c r="I3" s="4"/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SUBTOTAL(103,Table14681012141618[Data])</f>
        <v>0</v>
      </c>
      <c r="G251" t="s">
        <v>24</v>
      </c>
      <c r="J251">
        <f>SUBTOTAL(103,Table25791113151719[Data])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921D6-1E6B-4EAD-9215-2C98856E7D6D}">
  <sheetPr codeName="Sheet12"/>
  <dimension ref="B1:N251"/>
  <sheetViews>
    <sheetView showGridLines="0" zoomScaleNormal="100" workbookViewId="0">
      <selection activeCell="L8" sqref="L8"/>
    </sheetView>
  </sheetViews>
  <sheetFormatPr defaultRowHeight="15" x14ac:dyDescent="0.25"/>
  <cols>
    <col min="1" max="1" width="23.7109375" customWidth="1"/>
    <col min="2" max="2" width="5.42578125" customWidth="1"/>
    <col min="3" max="3" width="24.7109375" bestFit="1" customWidth="1"/>
    <col min="4" max="4" width="15.5703125" style="1" bestFit="1" customWidth="1"/>
    <col min="5" max="5" width="17.5703125" style="3" customWidth="1"/>
    <col min="6" max="6" width="2.7109375" customWidth="1"/>
    <col min="7" max="7" width="5.7109375" customWidth="1"/>
    <col min="8" max="8" width="22.28515625" customWidth="1"/>
    <col min="9" max="9" width="17.85546875" customWidth="1"/>
    <col min="10" max="10" width="17.7109375" customWidth="1"/>
    <col min="12" max="12" width="13.28515625" bestFit="1" customWidth="1"/>
    <col min="14" max="14" width="10.5703125" bestFit="1" customWidth="1"/>
  </cols>
  <sheetData>
    <row r="1" spans="2:14" ht="30" thickTop="1" thickBot="1" x14ac:dyDescent="0.5">
      <c r="B1" s="11"/>
      <c r="C1" s="7" t="s">
        <v>8</v>
      </c>
      <c r="D1" s="8" t="s">
        <v>5</v>
      </c>
      <c r="E1" s="13">
        <f xml:space="preserve"> SUM(D3:D250)</f>
        <v>0</v>
      </c>
      <c r="G1" s="10"/>
      <c r="H1" s="6" t="s">
        <v>21</v>
      </c>
      <c r="I1" s="9" t="s">
        <v>22</v>
      </c>
      <c r="J1" s="13">
        <f>SUM(I3:I250)</f>
        <v>0</v>
      </c>
      <c r="L1" s="14" t="s">
        <v>27</v>
      </c>
      <c r="M1" s="15">
        <f>E1-J1</f>
        <v>0</v>
      </c>
    </row>
    <row r="2" spans="2:14" ht="15.75" thickTop="1" x14ac:dyDescent="0.25">
      <c r="B2" s="5" t="s">
        <v>7</v>
      </c>
      <c r="C2" s="5" t="s">
        <v>0</v>
      </c>
      <c r="D2" s="5" t="s">
        <v>1</v>
      </c>
      <c r="E2" s="5" t="s">
        <v>2</v>
      </c>
      <c r="G2" s="5" t="s">
        <v>7</v>
      </c>
      <c r="H2" s="5" t="s">
        <v>0</v>
      </c>
      <c r="I2" s="5" t="s">
        <v>23</v>
      </c>
      <c r="J2" s="5" t="s">
        <v>2</v>
      </c>
    </row>
    <row r="3" spans="2:14" x14ac:dyDescent="0.25">
      <c r="D3" s="2"/>
      <c r="I3" s="4"/>
    </row>
    <row r="4" spans="2:14" x14ac:dyDescent="0.25">
      <c r="D4" s="2"/>
      <c r="E4" s="4"/>
      <c r="I4" s="4"/>
    </row>
    <row r="5" spans="2:14" x14ac:dyDescent="0.25">
      <c r="D5" s="2"/>
      <c r="I5" s="4"/>
    </row>
    <row r="6" spans="2:14" x14ac:dyDescent="0.25">
      <c r="D6" s="2"/>
      <c r="I6" s="4"/>
    </row>
    <row r="7" spans="2:14" x14ac:dyDescent="0.25">
      <c r="D7" s="2"/>
      <c r="I7" s="4"/>
      <c r="N7" s="1"/>
    </row>
    <row r="8" spans="2:14" x14ac:dyDescent="0.25">
      <c r="D8" s="2"/>
      <c r="I8" s="4"/>
    </row>
    <row r="9" spans="2:14" x14ac:dyDescent="0.25">
      <c r="D9" s="2"/>
      <c r="I9" s="4"/>
    </row>
    <row r="10" spans="2:14" x14ac:dyDescent="0.25">
      <c r="D10" s="2"/>
    </row>
    <row r="11" spans="2:14" x14ac:dyDescent="0.25">
      <c r="D11" s="2"/>
    </row>
    <row r="12" spans="2:14" x14ac:dyDescent="0.25">
      <c r="D12" s="2"/>
    </row>
    <row r="13" spans="2:14" x14ac:dyDescent="0.25">
      <c r="D13" s="2"/>
    </row>
    <row r="14" spans="2:14" x14ac:dyDescent="0.25">
      <c r="D14" s="2"/>
    </row>
    <row r="15" spans="2:14" x14ac:dyDescent="0.25">
      <c r="D15" s="2"/>
    </row>
    <row r="251" spans="2:10" x14ac:dyDescent="0.25">
      <c r="B251" t="s">
        <v>24</v>
      </c>
      <c r="D251" s="12"/>
      <c r="E251">
        <f>SUBTOTAL(103,Table1468101214161820[Data])</f>
        <v>0</v>
      </c>
      <c r="G251" t="s">
        <v>24</v>
      </c>
      <c r="J251">
        <f>SUBTOTAL(103,Table2579111315171921[Data])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_xludf.Run">
                <anchor moveWithCells="1" sizeWithCells="1">
                  <from>
                    <xdr:col>0</xdr:col>
                    <xdr:colOff>285750</xdr:colOff>
                    <xdr:row>1</xdr:row>
                    <xdr:rowOff>47625</xdr:rowOff>
                  </from>
                  <to>
                    <xdr:col>0</xdr:col>
                    <xdr:colOff>1228725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Outros</vt:lpstr>
      <vt:lpstr>Report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Tuccio Alves</dc:creator>
  <cp:lastModifiedBy>Thiago Tuccio Alves</cp:lastModifiedBy>
  <dcterms:created xsi:type="dcterms:W3CDTF">2024-03-19T22:36:47Z</dcterms:created>
  <dcterms:modified xsi:type="dcterms:W3CDTF">2024-06-12T23:05:44Z</dcterms:modified>
</cp:coreProperties>
</file>